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2"/>
  </bookViews>
  <sheets>
    <sheet name="Master_BOM" sheetId="1" r:id="rId1"/>
    <sheet name="Zone_Allocation" sheetId="2" r:id="rId2"/>
    <sheet name="Riser_and_Trench_Schedule" sheetId="3" r:id="rId3"/>
  </sheets>
  <calcPr calcId="191029"/>
</workbook>
</file>

<file path=xl/sharedStrings.xml><?xml version="1.0" encoding="utf-8"?>
<sst xmlns="http://schemas.openxmlformats.org/spreadsheetml/2006/main" count="281" uniqueCount="217">
  <si>
    <t>2-ACRE MORINGA DRIP IRRIGATION PROJECT — MASTER BILL OF MATERIALS (BOM) &amp; COST SCHEDULE</t>
  </si>
  <si>
    <t>Client: 2-Acre Moringa Commercial Orchard | Standard: IS 12786 / IS 4985 | Date: October 2026</t>
  </si>
  <si>
    <t>Item #</t>
  </si>
  <si>
    <t>Category</t>
  </si>
  <si>
    <t>Item Description &amp; Specification</t>
  </si>
  <si>
    <t>Unit</t>
  </si>
  <si>
    <t>Ordered Qty</t>
  </si>
  <si>
    <t>Planned Usage</t>
  </si>
  <si>
    <t>Spare Qty</t>
  </si>
  <si>
    <t>Unit Rate (INR)</t>
  </si>
  <si>
    <t>Total Amount (INR)</t>
  </si>
  <si>
    <t>Application / Location</t>
  </si>
  <si>
    <t>PVC Pipes</t>
  </si>
  <si>
    <t>2" (63mm) PVC Pipe Class 2 (6 kg/cm2, 20ft length)</t>
  </si>
  <si>
    <t>Length</t>
  </si>
  <si>
    <t>Zone 1 Mainline network (730 ft used)</t>
  </si>
  <si>
    <t>PVC Fittings</t>
  </si>
  <si>
    <t>2" PVC 90° Elbow</t>
  </si>
  <si>
    <t>Nos</t>
  </si>
  <si>
    <t>Mainline routing &amp; riser manifold bends</t>
  </si>
  <si>
    <t>2" PVC Equal Tee</t>
  </si>
  <si>
    <t>Borewell, Corner, Tee A, Tee B &amp; 8 Risers</t>
  </si>
  <si>
    <t>2" PVC Collar / Coupler</t>
  </si>
  <si>
    <t>Pipe length joins in trenches</t>
  </si>
  <si>
    <t>2" PVC End Cap</t>
  </si>
  <si>
    <t>Stubs (Borewell S, Corner E, Tee B W) &amp; mainline ends</t>
  </si>
  <si>
    <t>2" PVC Gate Valve (Header)</t>
  </si>
  <si>
    <t>Borewell delivery &amp; field isolation</t>
  </si>
  <si>
    <t>1.5" (50mm) PVC Pipe Class 2 (20ft length)</t>
  </si>
  <si>
    <t>Plot A sublines &amp; vertical riser drops (152 ft)</t>
  </si>
  <si>
    <t>1.5" PVC 90° Elbow</t>
  </si>
  <si>
    <t>Plot A 4 overhead risers (4 per station)</t>
  </si>
  <si>
    <t>1.5" PVC Equal Tee</t>
  </si>
  <si>
    <t>Plot A subline branch junctions</t>
  </si>
  <si>
    <t>1.5" PVC Collar</t>
  </si>
  <si>
    <t>Plot A subline joins</t>
  </si>
  <si>
    <t>1.25" (40mm) PVC Pipe Class 2 (20ft length)</t>
  </si>
  <si>
    <t>Plot B sublines &amp; vertical riser drops (288 ft)</t>
  </si>
  <si>
    <t>1.25" PVC 90° Elbow</t>
  </si>
  <si>
    <t>Plot B 4 overhead risers (4 per station)</t>
  </si>
  <si>
    <t>1.25" PVC Equal Tee</t>
  </si>
  <si>
    <t>Plot B subline branch junctions</t>
  </si>
  <si>
    <t>1.25" PVC Collar</t>
  </si>
  <si>
    <t>Plot B subline joins</t>
  </si>
  <si>
    <t>Consumables</t>
  </si>
  <si>
    <t>PVC Solvent Cement (Heavy Duty 3L: 2L in 1/2L + 1L in 1/4L)</t>
  </si>
  <si>
    <t>Liters</t>
  </si>
  <si>
    <t>All solvent-welded joints across 2 acres</t>
  </si>
  <si>
    <t>Teflon Thread Seal Tape (12mm x 10m roll)</t>
  </si>
  <si>
    <t>Threaded filter, gauge &amp; valve connections</t>
  </si>
  <si>
    <t>Hacksaw Blades (Bi-metal 12")</t>
  </si>
  <si>
    <t>Field cutting of PVC pipes &amp; laterals</t>
  </si>
  <si>
    <t>Drip Invoice #1</t>
  </si>
  <si>
    <t>16mm Plain Lateral Pipe</t>
  </si>
  <si>
    <t>Mtrs</t>
  </si>
  <si>
    <t>Plot B (32 rows x 165 ft) — 390m reserve</t>
  </si>
  <si>
    <t>Drip Invoice #2</t>
  </si>
  <si>
    <t>Tunning Dripper (P) (Adjustable 0-70 LPH)</t>
  </si>
  <si>
    <t>Plot B (24 drippers/row x 32 rows = 768)</t>
  </si>
  <si>
    <t>Drip Invoice #3</t>
  </si>
  <si>
    <t>Punching Tool (3mm precision punch)</t>
  </si>
  <si>
    <t>Field crew tools for punching dripper holes</t>
  </si>
  <si>
    <t>Drip Invoice #4</t>
  </si>
  <si>
    <t>16mm Endcap (Figure-8 / End plug)</t>
  </si>
  <si>
    <t>48 in Plot A + 32 in Plot B (30 spares)</t>
  </si>
  <si>
    <t>Drip Invoice #5</t>
  </si>
  <si>
    <t>16mm Lateral Connector (Straight joiner)</t>
  </si>
  <si>
    <t>Lateral line repair and emergency joining</t>
  </si>
  <si>
    <t>Drip Invoice #6</t>
  </si>
  <si>
    <t>40x16x1Way TF Coller (Take-off collar West)</t>
  </si>
  <si>
    <t>Plot B row connections into 40mm subline</t>
  </si>
  <si>
    <t>Drip Invoice #7</t>
  </si>
  <si>
    <t>40mm Flush Valve</t>
  </si>
  <si>
    <t>Plot B subline terminal flush points (8 arms)</t>
  </si>
  <si>
    <t>Drip Invoice #8</t>
  </si>
  <si>
    <t>16x4x40 Inline Pipe (4 LPH @ 40cm drippers)</t>
  </si>
  <si>
    <t>Plot A (24 trenches x 390 ft) — 74m reserve</t>
  </si>
  <si>
    <t>Drip Invoice #9</t>
  </si>
  <si>
    <t>50x16x2 Way Take of Coller (V-connector)</t>
  </si>
  <si>
    <t>Plot A trench connections (East &amp; West)</t>
  </si>
  <si>
    <t>Drip Invoice #10</t>
  </si>
  <si>
    <t>50mm Flash Valve (Flush Valve)</t>
  </si>
  <si>
    <t>Plot A subline terminal flush points (8 arms)</t>
  </si>
  <si>
    <t>Drip Invoice #11</t>
  </si>
  <si>
    <t>2" Filter 'T' Type (Disc/Screen Filter)</t>
  </si>
  <si>
    <t>Zone 1 Solar Borewell head filtration unit</t>
  </si>
  <si>
    <t>Drip Invoice #12</t>
  </si>
  <si>
    <t>40mm Plain Ball Valve (1.25" control valve)</t>
  </si>
  <si>
    <t>Plot B overhead risers (2 per station x 4)</t>
  </si>
  <si>
    <t>Drip Invoice #13</t>
  </si>
  <si>
    <t>50mm Plain Ball Valve (1.5" control valve)</t>
  </si>
  <si>
    <t>Plot A overhead risers (2 per station x 4)</t>
  </si>
  <si>
    <t>SUBTOTAL: PVC PIPES, FITTINGS &amp; CONSUMABLES</t>
  </si>
  <si>
    <t>17 PVC Inventory Line Items</t>
  </si>
  <si>
    <t>SUBTOTAL: DRIP IRRIGATION INVOICE ITEMS</t>
  </si>
  <si>
    <t>13 Drip Commercial Invoice Line Items</t>
  </si>
  <si>
    <t>TOTAL MATERIAL COST (BEFORE TAX)</t>
  </si>
  <si>
    <t>Ex-Factory Material Total</t>
  </si>
  <si>
    <t>CGST (9%)</t>
  </si>
  <si>
    <t>Central Goods and Services Tax</t>
  </si>
  <si>
    <t>SGST (9%)</t>
  </si>
  <si>
    <t>State Goods and Services Tax</t>
  </si>
  <si>
    <t>GRAND TOTAL PROJECT MATERIAL INVOICE</t>
  </si>
  <si>
    <t>Full Project Procurement Value (INR)</t>
  </si>
  <si>
    <t>ZONE-WISE MATERIAL &amp; HYDRAULIC ALLOCATION MATRIX</t>
  </si>
  <si>
    <t>Detailed breakdown of pipe footage, fittings, and tree counts per hydraulic zone</t>
  </si>
  <si>
    <t>Zone ID</t>
  </si>
  <si>
    <t>Zone Name &amp; Crop</t>
  </si>
  <si>
    <t>Target Area</t>
  </si>
  <si>
    <t>Mainline Feed</t>
  </si>
  <si>
    <t>Riser Stations</t>
  </si>
  <si>
    <t>Subline Size &amp; Run</t>
  </si>
  <si>
    <t>Laterals &amp; Emitters</t>
  </si>
  <si>
    <t>Plant Count</t>
  </si>
  <si>
    <t>Allocated Valves &amp; Fittings</t>
  </si>
  <si>
    <t>Zone 1</t>
  </si>
  <si>
    <t>Solar Borewell &amp; Mainline Network</t>
  </si>
  <si>
    <t>Infrastructure</t>
  </si>
  <si>
    <t>2" Class 2 (730 ft)</t>
  </si>
  <si>
    <t>N/A (Header)</t>
  </si>
  <si>
    <t>None</t>
  </si>
  <si>
    <t>1x 2" Filter 'T', 2x 2" Gate Valves, 1x 2" NRV, 4x 2" Tees, 4x 2" End Caps</t>
  </si>
  <si>
    <t>Zone 2</t>
  </si>
  <si>
    <t>Plot A: East Field (PKM-1 Moringa)</t>
  </si>
  <si>
    <t>1.0 Acre (390x130 ft)</t>
  </si>
  <si>
    <t>2" Center (145 ft)</t>
  </si>
  <si>
    <t>4 Overhead (A1-A4 @ 30' spacing)</t>
  </si>
  <si>
    <t>1.5" (50mm) x 120 ft total</t>
  </si>
  <si>
    <t>16x4x40 Inline (2,926m across 24 trenches)</t>
  </si>
  <si>
    <t>8x 50mm Ball Valves, 8x 50mm Flush Valves, 24x 50x16x2-Way Collars, 48x 16mm Caps</t>
  </si>
  <si>
    <t>Zone 3</t>
  </si>
  <si>
    <t>Plot B: West Field (Bhagya Moringa)</t>
  </si>
  <si>
    <t>1.0 Acre (165x260 ft)</t>
  </si>
  <si>
    <t>2" Boundary (240 ft)</t>
  </si>
  <si>
    <t>4 Overhead (B1-B4 @ 64' spacing)</t>
  </si>
  <si>
    <t>1.25" (40mm) x 256 ft total</t>
  </si>
  <si>
    <t>16mm Plain (1,610m across 32 rows)</t>
  </si>
  <si>
    <t>8x 40mm Ball Valves, 8x 40mm Flush Valves, 32x 40x16x1-Way Collars, 768 Drippers, 32x Caps</t>
  </si>
  <si>
    <t>TOTALS</t>
  </si>
  <si>
    <t>2-Acre Moringa Commercial Farm</t>
  </si>
  <si>
    <t>2.0 Acres</t>
  </si>
  <si>
    <t>1,115 ft Total Mainline</t>
  </si>
  <si>
    <t>8 Riser Stations</t>
  </si>
  <si>
    <t>376 ft Buried Sublines</t>
  </si>
  <si>
    <t>4,536m Drip Laterals Installed</t>
  </si>
  <si>
    <t>16 Ball Valves, 16 Flush Valves, 56 Collars, 80 Caps, 768 Drippers</t>
  </si>
  <si>
    <t>FIELD EXECUTION SCHEDULE: RISER TAPE MEASURES &amp; PIPE CUT-LIST</t>
  </si>
  <si>
    <t>Exact field dimensions from reference origins for excavation, plumbing, and riser assembly</t>
  </si>
  <si>
    <t>Station Code</t>
  </si>
  <si>
    <t>Reference Origin</t>
  </si>
  <si>
    <t>Tape Measure Offset (ft)</t>
  </si>
  <si>
    <t>Global CAD (X, Y)</t>
  </si>
  <si>
    <t>Zone / Subline Arm</t>
  </si>
  <si>
    <t>Trench / Row Spacing</t>
  </si>
  <si>
    <t>Covered Range (Y)</t>
  </si>
  <si>
    <t>Pipe Cut Lengths Required</t>
  </si>
  <si>
    <t>Tee A</t>
  </si>
  <si>
    <t>Plot A Center Entry</t>
  </si>
  <si>
    <t>(500, 100)</t>
  </si>
  <si>
    <t>Plot A Center Mainline Start</t>
  </si>
  <si>
    <t>Mainline Entry</t>
  </si>
  <si>
    <t>Y = 100</t>
  </si>
  <si>
    <t>215 ft West from Tee B; 90 ft East from Corner</t>
  </si>
  <si>
    <t>Riser A1</t>
  </si>
  <si>
    <t>Tee A (500, 100)</t>
  </si>
  <si>
    <t>(500, 130)</t>
  </si>
  <si>
    <t>Plot A Arms 1 &amp; 2</t>
  </si>
  <si>
    <t>5 ft Trench Spacing</t>
  </si>
  <si>
    <t>Y = 115 to 145</t>
  </si>
  <si>
    <t>1x 4ft 2" Riser; 2x 4ft 1.5" Drops; 2x 15ft 1.5" Sublines</t>
  </si>
  <si>
    <t>Riser A2</t>
  </si>
  <si>
    <t>(500, 160)</t>
  </si>
  <si>
    <t>Plot A Arms 3 &amp; 4</t>
  </si>
  <si>
    <t>Y = 145 to 175</t>
  </si>
  <si>
    <t>Riser A3</t>
  </si>
  <si>
    <t>(500, 190)</t>
  </si>
  <si>
    <t>Plot A Arms 5 &amp; 6</t>
  </si>
  <si>
    <t>Y = 175 to 205</t>
  </si>
  <si>
    <t>Riser A4</t>
  </si>
  <si>
    <t>(500, 220)</t>
  </si>
  <si>
    <t>Plot A Arms 7 &amp; 8</t>
  </si>
  <si>
    <t>Y = 205 to 235</t>
  </si>
  <si>
    <t>End Cap A</t>
  </si>
  <si>
    <t>(500, 245)</t>
  </si>
  <si>
    <t>Plot A Mainline Terminal</t>
  </si>
  <si>
    <t>Terminal End</t>
  </si>
  <si>
    <t>Y = 245</t>
  </si>
  <si>
    <t>1x 2" End Cap on 25ft mainline tail past Riser A4</t>
  </si>
  <si>
    <t>Tee B</t>
  </si>
  <si>
    <t>Plot B Entry Corner</t>
  </si>
  <si>
    <t>(285, 100)</t>
  </si>
  <si>
    <t>Plot B East Boundary Start</t>
  </si>
  <si>
    <t>Connected to Tee A via 215 ft 2" pipe</t>
  </si>
  <si>
    <t>Riser B1</t>
  </si>
  <si>
    <t>Tee B (285, 100)</t>
  </si>
  <si>
    <t>(285, 124)</t>
  </si>
  <si>
    <t>Plot B Arms 1 &amp; 2</t>
  </si>
  <si>
    <t>8 ft Row Spacing</t>
  </si>
  <si>
    <t>Y = 92 to 156</t>
  </si>
  <si>
    <t>1x 4ft 2" Riser; 2x 4ft 1.25" Drops; 2x 32ft 1.25" Sublines</t>
  </si>
  <si>
    <t>Riser B2</t>
  </si>
  <si>
    <t>(285, 188)</t>
  </si>
  <si>
    <t>Plot B Arms 3 &amp; 4</t>
  </si>
  <si>
    <t>Y = 156 to 220</t>
  </si>
  <si>
    <t>Riser B3</t>
  </si>
  <si>
    <t>(285, 252)</t>
  </si>
  <si>
    <t>Plot B Arms 5 &amp; 6</t>
  </si>
  <si>
    <t>Y = 220 to 284</t>
  </si>
  <si>
    <t>Riser B4</t>
  </si>
  <si>
    <t>(285, 316)</t>
  </si>
  <si>
    <t>Plot B Arms 7 &amp; 8</t>
  </si>
  <si>
    <t>Y = 284 to 348</t>
  </si>
  <si>
    <t>End Cap B</t>
  </si>
  <si>
    <t>(285, 340)</t>
  </si>
  <si>
    <t>Plot B Mainline Terminal</t>
  </si>
  <si>
    <t>Y = 340</t>
  </si>
  <si>
    <t>1x 2" End Cap on 24ft mainline tail past Riser 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</si>
</sst>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selection activeCell="A1" sqref="A1"/>
    </sheetView>
  </sheetViews>
  <sheetFormatPr defaultRowHeight="15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>
        <v>1</v>
      </c>
      <c r="B5" t="s">
        <v>12</v>
      </c>
      <c r="C5" t="s">
        <v>13</v>
      </c>
      <c r="D5" t="s">
        <v>14</v>
      </c>
      <c r="E5">
        <v>45</v>
      </c>
      <c r="F5">
        <v>37</v>
      </c>
      <c r="G5">
        <f>E5-F5</f>
        <v>8</v>
      </c>
      <c r="H5">
        <v>420</v>
      </c>
      <c r="I5">
        <f>E5*H5</f>
        <v>18900</v>
      </c>
      <c r="J5" t="s">
        <v>15</v>
      </c>
    </row>
    <row r="6">
      <c r="A6">
        <v>2</v>
      </c>
      <c r="B6" t="s">
        <v>16</v>
      </c>
      <c r="C6" t="s">
        <v>17</v>
      </c>
      <c r="D6" t="s">
        <v>18</v>
      </c>
      <c r="E6">
        <v>30</v>
      </c>
      <c r="F6">
        <v>18</v>
      </c>
      <c r="G6">
        <f>E6-F6</f>
        <v>12</v>
      </c>
      <c r="H6">
        <v>45</v>
      </c>
      <c r="I6">
        <f>E6*H6</f>
        <v>1350</v>
      </c>
      <c r="J6" t="s">
        <v>19</v>
      </c>
    </row>
    <row r="7">
      <c r="A7">
        <v>3</v>
      </c>
      <c r="B7" t="s">
        <v>16</v>
      </c>
      <c r="C7" t="s">
        <v>20</v>
      </c>
      <c r="D7" t="s">
        <v>18</v>
      </c>
      <c r="E7">
        <v>30</v>
      </c>
      <c r="F7">
        <v>12</v>
      </c>
      <c r="G7">
        <f>E7-F7</f>
        <v>18</v>
      </c>
      <c r="H7">
        <v>55</v>
      </c>
      <c r="I7">
        <f>E7*H7</f>
        <v>1650</v>
      </c>
      <c r="J7" t="s">
        <v>21</v>
      </c>
    </row>
    <row r="8">
      <c r="A8">
        <v>4</v>
      </c>
      <c r="B8" t="s">
        <v>16</v>
      </c>
      <c r="C8" t="s">
        <v>22</v>
      </c>
      <c r="D8" t="s">
        <v>18</v>
      </c>
      <c r="E8">
        <v>10</v>
      </c>
      <c r="F8">
        <v>6</v>
      </c>
      <c r="G8">
        <f>E8-F8</f>
        <v>4</v>
      </c>
      <c r="H8">
        <v>30</v>
      </c>
      <c r="I8">
        <f>E8*H8</f>
        <v>300</v>
      </c>
      <c r="J8" t="s">
        <v>23</v>
      </c>
    </row>
    <row r="9">
      <c r="A9">
        <v>5</v>
      </c>
      <c r="B9" t="s">
        <v>16</v>
      </c>
      <c r="C9" t="s">
        <v>24</v>
      </c>
      <c r="D9" t="s">
        <v>18</v>
      </c>
      <c r="E9">
        <v>10</v>
      </c>
      <c r="F9">
        <v>6</v>
      </c>
      <c r="G9">
        <f>E9-F9</f>
        <v>4</v>
      </c>
      <c r="H9">
        <v>35</v>
      </c>
      <c r="I9">
        <f>E9*H9</f>
        <v>350</v>
      </c>
      <c r="J9" t="s">
        <v>25</v>
      </c>
    </row>
    <row r="10">
      <c r="A10">
        <v>6</v>
      </c>
      <c r="B10" t="s">
        <v>16</v>
      </c>
      <c r="C10" t="s">
        <v>26</v>
      </c>
      <c r="D10" t="s">
        <v>18</v>
      </c>
      <c r="E10">
        <v>10</v>
      </c>
      <c r="F10">
        <v>2</v>
      </c>
      <c r="G10">
        <f>E10-F10</f>
        <v>8</v>
      </c>
      <c r="H10">
        <v>350</v>
      </c>
      <c r="I10">
        <f>E10*H10</f>
        <v>3500</v>
      </c>
      <c r="J10" t="s">
        <v>27</v>
      </c>
    </row>
    <row r="11">
      <c r="A11">
        <v>7</v>
      </c>
      <c r="B11" t="s">
        <v>12</v>
      </c>
      <c r="C11" t="s">
        <v>28</v>
      </c>
      <c r="D11" t="s">
        <v>14</v>
      </c>
      <c r="E11">
        <v>10</v>
      </c>
      <c r="F11">
        <v>8</v>
      </c>
      <c r="G11">
        <f>E11-F11</f>
        <v>2</v>
      </c>
      <c r="H11">
        <v>310</v>
      </c>
      <c r="I11">
        <f>E11*H11</f>
        <v>3100</v>
      </c>
      <c r="J11" t="s">
        <v>29</v>
      </c>
    </row>
    <row r="12">
      <c r="A12">
        <v>8</v>
      </c>
      <c r="B12" t="s">
        <v>16</v>
      </c>
      <c r="C12" t="s">
        <v>30</v>
      </c>
      <c r="D12" t="s">
        <v>18</v>
      </c>
      <c r="E12">
        <v>40</v>
      </c>
      <c r="F12">
        <v>16</v>
      </c>
      <c r="G12">
        <f>E12-F12</f>
        <v>24</v>
      </c>
      <c r="H12">
        <v>32</v>
      </c>
      <c r="I12">
        <f>E12*H12</f>
        <v>1280</v>
      </c>
      <c r="J12" t="s">
        <v>31</v>
      </c>
    </row>
    <row r="13">
      <c r="A13">
        <v>9</v>
      </c>
      <c r="B13" t="s">
        <v>16</v>
      </c>
      <c r="C13" t="s">
        <v>32</v>
      </c>
      <c r="D13" t="s">
        <v>18</v>
      </c>
      <c r="E13">
        <v>50</v>
      </c>
      <c r="F13">
        <v>8</v>
      </c>
      <c r="G13">
        <f>E13-F13</f>
        <v>42</v>
      </c>
      <c r="H13">
        <v>38</v>
      </c>
      <c r="I13">
        <f>E13*H13</f>
        <v>1900</v>
      </c>
      <c r="J13" t="s">
        <v>33</v>
      </c>
    </row>
    <row r="14">
      <c r="A14">
        <v>10</v>
      </c>
      <c r="B14" t="s">
        <v>16</v>
      </c>
      <c r="C14" t="s">
        <v>34</v>
      </c>
      <c r="D14" t="s">
        <v>18</v>
      </c>
      <c r="E14">
        <v>5</v>
      </c>
      <c r="F14">
        <v>4</v>
      </c>
      <c r="G14">
        <f>E14-F14</f>
        <v>1</v>
      </c>
      <c r="H14">
        <v>22</v>
      </c>
      <c r="I14">
        <f>E14*H14</f>
        <v>110</v>
      </c>
      <c r="J14" t="s">
        <v>35</v>
      </c>
    </row>
    <row r="15">
      <c r="A15">
        <v>11</v>
      </c>
      <c r="B15" t="s">
        <v>12</v>
      </c>
      <c r="C15" t="s">
        <v>36</v>
      </c>
      <c r="D15" t="s">
        <v>14</v>
      </c>
      <c r="E15">
        <v>15</v>
      </c>
      <c r="F15">
        <v>14</v>
      </c>
      <c r="G15">
        <f>E15-F15</f>
        <v>1</v>
      </c>
      <c r="H15">
        <v>240</v>
      </c>
      <c r="I15">
        <f>E15*H15</f>
        <v>3600</v>
      </c>
      <c r="J15" t="s">
        <v>37</v>
      </c>
    </row>
    <row r="16">
      <c r="A16">
        <v>12</v>
      </c>
      <c r="B16" t="s">
        <v>16</v>
      </c>
      <c r="C16" t="s">
        <v>38</v>
      </c>
      <c r="D16" t="s">
        <v>18</v>
      </c>
      <c r="E16">
        <v>30</v>
      </c>
      <c r="F16">
        <v>16</v>
      </c>
      <c r="G16">
        <f>E16-F16</f>
        <v>14</v>
      </c>
      <c r="H16">
        <v>25</v>
      </c>
      <c r="I16">
        <f>E16*H16</f>
        <v>750</v>
      </c>
      <c r="J16" t="s">
        <v>39</v>
      </c>
    </row>
    <row r="17">
      <c r="A17">
        <v>13</v>
      </c>
      <c r="B17" t="s">
        <v>16</v>
      </c>
      <c r="C17" t="s">
        <v>40</v>
      </c>
      <c r="D17" t="s">
        <v>18</v>
      </c>
      <c r="E17">
        <v>40</v>
      </c>
      <c r="F17">
        <v>8</v>
      </c>
      <c r="G17">
        <f>E17-F17</f>
        <v>32</v>
      </c>
      <c r="H17">
        <v>30</v>
      </c>
      <c r="I17">
        <f>E17*H17</f>
        <v>1200</v>
      </c>
      <c r="J17" t="s">
        <v>41</v>
      </c>
    </row>
    <row r="18">
      <c r="A18">
        <v>14</v>
      </c>
      <c r="B18" t="s">
        <v>16</v>
      </c>
      <c r="C18" t="s">
        <v>42</v>
      </c>
      <c r="D18" t="s">
        <v>18</v>
      </c>
      <c r="E18">
        <v>5</v>
      </c>
      <c r="F18">
        <v>4</v>
      </c>
      <c r="G18">
        <f>E18-F18</f>
        <v>1</v>
      </c>
      <c r="H18">
        <v>18</v>
      </c>
      <c r="I18">
        <f>E18*H18</f>
        <v>90</v>
      </c>
      <c r="J18" t="s">
        <v>43</v>
      </c>
    </row>
    <row r="19">
      <c r="A19">
        <v>15</v>
      </c>
      <c r="B19" t="s">
        <v>44</v>
      </c>
      <c r="C19" t="s">
        <v>45</v>
      </c>
      <c r="D19" t="s">
        <v>46</v>
      </c>
      <c r="E19">
        <v>3</v>
      </c>
      <c r="F19">
        <v>2.5</v>
      </c>
      <c r="G19">
        <f>E19-F19</f>
        <v>0.5</v>
      </c>
      <c r="H19">
        <v>480</v>
      </c>
      <c r="I19">
        <f>E19*H19</f>
        <v>1440</v>
      </c>
      <c r="J19" t="s">
        <v>47</v>
      </c>
    </row>
    <row r="20">
      <c r="A20">
        <v>16</v>
      </c>
      <c r="B20" t="s">
        <v>44</v>
      </c>
      <c r="C20" t="s">
        <v>48</v>
      </c>
      <c r="D20" t="s">
        <v>18</v>
      </c>
      <c r="E20">
        <v>5</v>
      </c>
      <c r="F20">
        <v>4</v>
      </c>
      <c r="G20">
        <f>E20-F20</f>
        <v>1</v>
      </c>
      <c r="H20">
        <v>20</v>
      </c>
      <c r="I20">
        <f>E20*H20</f>
        <v>100</v>
      </c>
      <c r="J20" t="s">
        <v>49</v>
      </c>
    </row>
    <row r="21">
      <c r="A21">
        <v>17</v>
      </c>
      <c r="B21" t="s">
        <v>44</v>
      </c>
      <c r="C21" t="s">
        <v>50</v>
      </c>
      <c r="D21" t="s">
        <v>18</v>
      </c>
      <c r="E21">
        <v>4</v>
      </c>
      <c r="F21">
        <v>4</v>
      </c>
      <c r="G21">
        <f>E21-F21</f>
        <v>0</v>
      </c>
      <c r="H21">
        <v>25</v>
      </c>
      <c r="I21">
        <f>E21*H21</f>
        <v>100</v>
      </c>
      <c r="J21" t="s">
        <v>51</v>
      </c>
    </row>
    <row r="22">
      <c r="A22">
        <v>18</v>
      </c>
      <c r="B22" t="s">
        <v>52</v>
      </c>
      <c r="C22" t="s">
        <v>53</v>
      </c>
      <c r="D22" t="s">
        <v>54</v>
      </c>
      <c r="E22">
        <v>2000</v>
      </c>
      <c r="F22">
        <v>1610</v>
      </c>
      <c r="G22">
        <f>E22-F22</f>
        <v>390</v>
      </c>
      <c r="H22">
        <v>7.25</v>
      </c>
      <c r="I22">
        <f>E22*H22</f>
        <v>14500</v>
      </c>
      <c r="J22" t="s">
        <v>55</v>
      </c>
    </row>
    <row r="23">
      <c r="A23">
        <v>19</v>
      </c>
      <c r="B23" t="s">
        <v>56</v>
      </c>
      <c r="C23" t="s">
        <v>57</v>
      </c>
      <c r="D23" t="s">
        <v>18</v>
      </c>
      <c r="E23">
        <v>800</v>
      </c>
      <c r="F23">
        <v>768</v>
      </c>
      <c r="G23">
        <f>E23-F23</f>
        <v>32</v>
      </c>
      <c r="H23">
        <v>4</v>
      </c>
      <c r="I23">
        <f>E23*H23</f>
        <v>3200</v>
      </c>
      <c r="J23" t="s">
        <v>58</v>
      </c>
    </row>
    <row r="24">
      <c r="A24">
        <v>20</v>
      </c>
      <c r="B24" t="s">
        <v>59</v>
      </c>
      <c r="C24" t="s">
        <v>60</v>
      </c>
      <c r="D24" t="s">
        <v>18</v>
      </c>
      <c r="E24">
        <v>5</v>
      </c>
      <c r="F24">
        <v>5</v>
      </c>
      <c r="G24">
        <f>E24-F24</f>
        <v>0</v>
      </c>
      <c r="H24">
        <v>10</v>
      </c>
      <c r="I24">
        <f>E24*H24</f>
        <v>50</v>
      </c>
      <c r="J24" t="s">
        <v>61</v>
      </c>
    </row>
    <row r="25">
      <c r="A25">
        <v>21</v>
      </c>
      <c r="B25" t="s">
        <v>62</v>
      </c>
      <c r="C25" t="s">
        <v>63</v>
      </c>
      <c r="D25" t="s">
        <v>18</v>
      </c>
      <c r="E25">
        <v>110</v>
      </c>
      <c r="F25">
        <v>80</v>
      </c>
      <c r="G25">
        <f>E25-F25</f>
        <v>30</v>
      </c>
      <c r="H25">
        <v>2</v>
      </c>
      <c r="I25">
        <f>E25*H25</f>
        <v>220</v>
      </c>
      <c r="J25" t="s">
        <v>64</v>
      </c>
    </row>
    <row r="26">
      <c r="A26">
        <v>22</v>
      </c>
      <c r="B26" t="s">
        <v>65</v>
      </c>
      <c r="C26" t="s">
        <v>66</v>
      </c>
      <c r="D26" t="s">
        <v>18</v>
      </c>
      <c r="E26">
        <v>40</v>
      </c>
      <c r="F26">
        <v>10</v>
      </c>
      <c r="G26">
        <f>E26-F26</f>
        <v>30</v>
      </c>
      <c r="H26">
        <v>2</v>
      </c>
      <c r="I26">
        <f>E26*H26</f>
        <v>80</v>
      </c>
      <c r="J26" t="s">
        <v>67</v>
      </c>
    </row>
    <row r="27">
      <c r="A27">
        <v>23</v>
      </c>
      <c r="B27" t="s">
        <v>68</v>
      </c>
      <c r="C27" t="s">
        <v>69</v>
      </c>
      <c r="D27" t="s">
        <v>18</v>
      </c>
      <c r="E27">
        <v>35</v>
      </c>
      <c r="F27">
        <v>32</v>
      </c>
      <c r="G27">
        <f>E27-F27</f>
        <v>3</v>
      </c>
      <c r="H27">
        <v>25</v>
      </c>
      <c r="I27">
        <f>E27*H27</f>
        <v>875</v>
      </c>
      <c r="J27" t="s">
        <v>70</v>
      </c>
    </row>
    <row r="28">
      <c r="A28">
        <v>24</v>
      </c>
      <c r="B28" t="s">
        <v>71</v>
      </c>
      <c r="C28" t="s">
        <v>72</v>
      </c>
      <c r="D28" t="s">
        <v>18</v>
      </c>
      <c r="E28">
        <v>8</v>
      </c>
      <c r="F28">
        <v>8</v>
      </c>
      <c r="G28">
        <f>E28-F28</f>
        <v>0</v>
      </c>
      <c r="H28">
        <v>30</v>
      </c>
      <c r="I28">
        <f>E28*H28</f>
        <v>240</v>
      </c>
      <c r="J28" t="s">
        <v>73</v>
      </c>
    </row>
    <row r="29">
      <c r="A29">
        <v>25</v>
      </c>
      <c r="B29" t="s">
        <v>74</v>
      </c>
      <c r="C29" t="s">
        <v>75</v>
      </c>
      <c r="D29" t="s">
        <v>54</v>
      </c>
      <c r="E29">
        <v>3000</v>
      </c>
      <c r="F29">
        <v>2926</v>
      </c>
      <c r="G29">
        <f>E29-F29</f>
        <v>74</v>
      </c>
      <c r="H29">
        <v>5.5</v>
      </c>
      <c r="I29">
        <f>E29*H29</f>
        <v>16500</v>
      </c>
      <c r="J29" t="s">
        <v>76</v>
      </c>
    </row>
    <row r="30">
      <c r="A30">
        <v>26</v>
      </c>
      <c r="B30" t="s">
        <v>77</v>
      </c>
      <c r="C30" t="s">
        <v>78</v>
      </c>
      <c r="D30" t="s">
        <v>18</v>
      </c>
      <c r="E30">
        <v>25</v>
      </c>
      <c r="F30">
        <v>24</v>
      </c>
      <c r="G30">
        <f>E30-F30</f>
        <v>1</v>
      </c>
      <c r="H30">
        <v>30</v>
      </c>
      <c r="I30">
        <f>E30*H30</f>
        <v>750</v>
      </c>
      <c r="J30" t="s">
        <v>79</v>
      </c>
    </row>
    <row r="31">
      <c r="A31">
        <v>27</v>
      </c>
      <c r="B31" t="s">
        <v>80</v>
      </c>
      <c r="C31" t="s">
        <v>81</v>
      </c>
      <c r="D31" t="s">
        <v>18</v>
      </c>
      <c r="E31">
        <v>8</v>
      </c>
      <c r="F31">
        <v>8</v>
      </c>
      <c r="G31">
        <f>E31-F31</f>
        <v>0</v>
      </c>
      <c r="H31">
        <v>40</v>
      </c>
      <c r="I31">
        <f>E31*H31</f>
        <v>320</v>
      </c>
      <c r="J31" t="s">
        <v>82</v>
      </c>
    </row>
    <row r="32">
      <c r="A32">
        <v>28</v>
      </c>
      <c r="B32" t="s">
        <v>83</v>
      </c>
      <c r="C32" t="s">
        <v>84</v>
      </c>
      <c r="D32" t="s">
        <v>18</v>
      </c>
      <c r="E32">
        <v>1</v>
      </c>
      <c r="F32">
        <v>1</v>
      </c>
      <c r="G32">
        <f>E32-F32</f>
        <v>0</v>
      </c>
      <c r="H32">
        <v>2750</v>
      </c>
      <c r="I32">
        <f>E32*H32</f>
        <v>2750</v>
      </c>
      <c r="J32" t="s">
        <v>85</v>
      </c>
    </row>
    <row r="33">
      <c r="A33">
        <v>29</v>
      </c>
      <c r="B33" t="s">
        <v>86</v>
      </c>
      <c r="C33" t="s">
        <v>87</v>
      </c>
      <c r="D33" t="s">
        <v>18</v>
      </c>
      <c r="E33">
        <v>8</v>
      </c>
      <c r="F33">
        <v>8</v>
      </c>
      <c r="G33">
        <f>E33-F33</f>
        <v>0</v>
      </c>
      <c r="H33">
        <v>130</v>
      </c>
      <c r="I33">
        <f>E33*H33</f>
        <v>1040</v>
      </c>
      <c r="J33" t="s">
        <v>88</v>
      </c>
    </row>
    <row r="34">
      <c r="A34">
        <v>30</v>
      </c>
      <c r="B34" t="s">
        <v>89</v>
      </c>
      <c r="C34" t="s">
        <v>90</v>
      </c>
      <c r="D34" t="s">
        <v>18</v>
      </c>
      <c r="E34">
        <v>8</v>
      </c>
      <c r="F34">
        <v>8</v>
      </c>
      <c r="G34">
        <f>E34-F34</f>
        <v>0</v>
      </c>
      <c r="H34">
        <v>210</v>
      </c>
      <c r="I34">
        <f>E34*H34</f>
        <v>1680</v>
      </c>
      <c r="J34" t="s">
        <v>91</v>
      </c>
    </row>
    <row r="36">
      <c r="C36" t="s">
        <v>92</v>
      </c>
      <c r="I36">
        <f>SUM(I5:I21)</f>
        <v>39720</v>
      </c>
      <c r="J36" t="s">
        <v>93</v>
      </c>
    </row>
    <row r="37">
      <c r="C37" t="s">
        <v>94</v>
      </c>
      <c r="I37">
        <f>SUM(I22:I34)</f>
        <v>42205</v>
      </c>
      <c r="J37" t="s">
        <v>95</v>
      </c>
    </row>
    <row r="38">
      <c r="C38" t="s">
        <v>96</v>
      </c>
      <c r="I38">
        <f>I36+I37</f>
        <v>81925</v>
      </c>
      <c r="J38" t="s">
        <v>97</v>
      </c>
    </row>
    <row r="39">
      <c r="C39" t="s">
        <v>98</v>
      </c>
      <c r="I39">
        <f>0.09*I38</f>
        <v>7373.25</v>
      </c>
      <c r="J39" t="s">
        <v>99</v>
      </c>
    </row>
    <row r="40">
      <c r="C40" t="s">
        <v>100</v>
      </c>
      <c r="I40">
        <f>0.09*I38</f>
        <v>7373.25</v>
      </c>
      <c r="J40" t="s">
        <v>101</v>
      </c>
    </row>
    <row r="41">
      <c r="C41" t="s">
        <v>102</v>
      </c>
      <c r="I41">
        <f>I38+I39+I40</f>
        <v>96671.5</v>
      </c>
      <c r="J41" t="s">
        <v>103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activeCell="A1" sqref="A1"/>
    </sheetView>
  </sheetViews>
  <sheetFormatPr defaultRowHeight="15"/>
  <sheetData>
    <row r="1">
      <c r="A1" t="s">
        <v>104</v>
      </c>
    </row>
    <row r="2">
      <c r="A2" t="s">
        <v>105</v>
      </c>
    </row>
    <row r="4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</row>
    <row r="5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120</v>
      </c>
      <c r="H5">
        <v>0</v>
      </c>
      <c r="I5" t="s">
        <v>121</v>
      </c>
    </row>
    <row r="6">
      <c r="A6" t="s">
        <v>122</v>
      </c>
      <c r="B6" t="s">
        <v>123</v>
      </c>
      <c r="C6" t="s">
        <v>124</v>
      </c>
      <c r="D6" t="s">
        <v>125</v>
      </c>
      <c r="E6" t="s">
        <v>126</v>
      </c>
      <c r="F6" t="s">
        <v>127</v>
      </c>
      <c r="G6" t="s">
        <v>128</v>
      </c>
      <c r="H6">
        <v>3000</v>
      </c>
      <c r="I6" t="s">
        <v>129</v>
      </c>
    </row>
    <row r="7">
      <c r="A7" t="s">
        <v>130</v>
      </c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>
        <v>750</v>
      </c>
      <c r="I7" t="s">
        <v>137</v>
      </c>
    </row>
    <row r="9">
      <c r="A9" t="s">
        <v>138</v>
      </c>
      <c r="B9" t="s">
        <v>139</v>
      </c>
      <c r="C9" t="s">
        <v>140</v>
      </c>
      <c r="D9" t="s">
        <v>141</v>
      </c>
      <c r="E9" t="s">
        <v>142</v>
      </c>
      <c r="F9" t="s">
        <v>143</v>
      </c>
      <c r="G9" t="s">
        <v>144</v>
      </c>
      <c r="H9">
        <v>3750</v>
      </c>
      <c r="I9" t="s">
        <v>145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selection activeCell="A1" sqref="A1"/>
    </sheetView>
  </sheetViews>
  <sheetFormatPr defaultRowHeight="15"/>
  <sheetData>
    <row r="1">
      <c r="A1" t="s">
        <v>146</v>
      </c>
    </row>
    <row r="2">
      <c r="A2" t="s">
        <v>147</v>
      </c>
    </row>
    <row r="4">
      <c r="A4" t="s">
        <v>148</v>
      </c>
      <c r="B4" t="s">
        <v>149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</row>
    <row r="5">
      <c r="A5" t="s">
        <v>156</v>
      </c>
      <c r="B5" t="s">
        <v>157</v>
      </c>
      <c r="C5">
        <v>0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</row>
    <row r="6">
      <c r="A6" t="s">
        <v>163</v>
      </c>
      <c r="B6" t="s">
        <v>164</v>
      </c>
      <c r="C6">
        <v>30</v>
      </c>
      <c r="D6" t="s">
        <v>165</v>
      </c>
      <c r="E6" t="s">
        <v>166</v>
      </c>
      <c r="F6" t="s">
        <v>167</v>
      </c>
      <c r="G6" t="s">
        <v>168</v>
      </c>
      <c r="H6" t="s">
        <v>169</v>
      </c>
    </row>
    <row r="7">
      <c r="A7" t="s">
        <v>170</v>
      </c>
      <c r="B7" t="s">
        <v>164</v>
      </c>
      <c r="C7">
        <v>60</v>
      </c>
      <c r="D7" t="s">
        <v>171</v>
      </c>
      <c r="E7" t="s">
        <v>172</v>
      </c>
      <c r="F7" t="s">
        <v>167</v>
      </c>
      <c r="G7" t="s">
        <v>173</v>
      </c>
      <c r="H7" t="s">
        <v>169</v>
      </c>
    </row>
    <row r="8">
      <c r="A8" t="s">
        <v>174</v>
      </c>
      <c r="B8" t="s">
        <v>164</v>
      </c>
      <c r="C8">
        <v>90</v>
      </c>
      <c r="D8" t="s">
        <v>175</v>
      </c>
      <c r="E8" t="s">
        <v>176</v>
      </c>
      <c r="F8" t="s">
        <v>167</v>
      </c>
      <c r="G8" t="s">
        <v>177</v>
      </c>
      <c r="H8" t="s">
        <v>169</v>
      </c>
    </row>
    <row r="9">
      <c r="A9" t="s">
        <v>178</v>
      </c>
      <c r="B9" t="s">
        <v>164</v>
      </c>
      <c r="C9">
        <v>120</v>
      </c>
      <c r="D9" t="s">
        <v>179</v>
      </c>
      <c r="E9" t="s">
        <v>180</v>
      </c>
      <c r="F9" t="s">
        <v>167</v>
      </c>
      <c r="G9" t="s">
        <v>181</v>
      </c>
      <c r="H9" t="s">
        <v>169</v>
      </c>
    </row>
    <row r="10">
      <c r="A10" t="s">
        <v>182</v>
      </c>
      <c r="B10" t="s">
        <v>164</v>
      </c>
      <c r="C10">
        <v>145</v>
      </c>
      <c r="D10" t="s">
        <v>183</v>
      </c>
      <c r="E10" t="s">
        <v>184</v>
      </c>
      <c r="F10" t="s">
        <v>185</v>
      </c>
      <c r="G10" t="s">
        <v>186</v>
      </c>
      <c r="H10" t="s">
        <v>187</v>
      </c>
    </row>
    <row r="12">
      <c r="A12" t="s">
        <v>188</v>
      </c>
      <c r="B12" t="s">
        <v>189</v>
      </c>
      <c r="C12">
        <v>0</v>
      </c>
      <c r="D12" t="s">
        <v>190</v>
      </c>
      <c r="E12" t="s">
        <v>191</v>
      </c>
      <c r="F12" t="s">
        <v>160</v>
      </c>
      <c r="G12" t="s">
        <v>161</v>
      </c>
      <c r="H12" t="s">
        <v>192</v>
      </c>
    </row>
    <row r="13">
      <c r="A13" t="s">
        <v>193</v>
      </c>
      <c r="B13" t="s">
        <v>194</v>
      </c>
      <c r="C13">
        <v>24</v>
      </c>
      <c r="D13" t="s">
        <v>195</v>
      </c>
      <c r="E13" t="s">
        <v>196</v>
      </c>
      <c r="F13" t="s">
        <v>197</v>
      </c>
      <c r="G13" t="s">
        <v>198</v>
      </c>
      <c r="H13" t="s">
        <v>199</v>
      </c>
    </row>
    <row r="14">
      <c r="A14" t="s">
        <v>200</v>
      </c>
      <c r="B14" t="s">
        <v>194</v>
      </c>
      <c r="C14">
        <v>88</v>
      </c>
      <c r="D14" t="s">
        <v>201</v>
      </c>
      <c r="E14" t="s">
        <v>202</v>
      </c>
      <c r="F14" t="s">
        <v>197</v>
      </c>
      <c r="G14" t="s">
        <v>203</v>
      </c>
      <c r="H14" t="s">
        <v>199</v>
      </c>
    </row>
    <row r="15">
      <c r="A15" t="s">
        <v>204</v>
      </c>
      <c r="B15" t="s">
        <v>194</v>
      </c>
      <c r="C15">
        <v>152</v>
      </c>
      <c r="D15" t="s">
        <v>205</v>
      </c>
      <c r="E15" t="s">
        <v>206</v>
      </c>
      <c r="F15" t="s">
        <v>197</v>
      </c>
      <c r="G15" t="s">
        <v>207</v>
      </c>
      <c r="H15" t="s">
        <v>199</v>
      </c>
    </row>
    <row r="16">
      <c r="A16" t="s">
        <v>208</v>
      </c>
      <c r="B16" t="s">
        <v>194</v>
      </c>
      <c r="C16">
        <v>216</v>
      </c>
      <c r="D16" t="s">
        <v>209</v>
      </c>
      <c r="E16" t="s">
        <v>210</v>
      </c>
      <c r="F16" t="s">
        <v>197</v>
      </c>
      <c r="G16" t="s">
        <v>211</v>
      </c>
      <c r="H16" t="s">
        <v>199</v>
      </c>
    </row>
    <row r="17">
      <c r="A17" t="s">
        <v>212</v>
      </c>
      <c r="B17" t="s">
        <v>194</v>
      </c>
      <c r="C17">
        <v>240</v>
      </c>
      <c r="D17" t="s">
        <v>213</v>
      </c>
      <c r="E17" t="s">
        <v>214</v>
      </c>
      <c r="F17" t="s">
        <v>185</v>
      </c>
      <c r="G17" t="s">
        <v>215</v>
      </c>
      <c r="H17" t="s">
        <v>216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